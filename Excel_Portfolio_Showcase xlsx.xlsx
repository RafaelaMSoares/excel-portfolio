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🧹 Data Cleaning" sheetId="1" state="visible" r:id="rId3"/>
    <sheet name="📊 Pivot Table" sheetId="2" state="visible" r:id="rId4"/>
    <sheet name="🔢 Formul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<sst xmlns="http://schemas.openxmlformats.org/spreadsheetml/2006/main" count="234" uniqueCount="177">
  <si>
    <t xml:space="preserve">🧹  DATA CLEANING SHOWCASE</t>
  </si>
  <si>
    <t xml:space="preserve">⚠️  RAW / DIRTY DATA</t>
  </si>
  <si>
    <t xml:space="preserve">✅  CLEANED DATA</t>
  </si>
  <si>
    <t xml:space="preserve">ID</t>
  </si>
  <si>
    <t xml:space="preserve">Full Name</t>
  </si>
  <si>
    <t xml:space="preserve">Email</t>
  </si>
  <si>
    <t xml:space="preserve">Phone</t>
  </si>
  <si>
    <t xml:space="preserve">Salary ($)</t>
  </si>
  <si>
    <t xml:space="preserve">Join Date</t>
  </si>
  <si>
    <t xml:space="preserve">  alice SILVA </t>
  </si>
  <si>
    <t xml:space="preserve">ALICE.SILVA@GMAIL.COM</t>
  </si>
  <si>
    <t xml:space="preserve">(11) 9.8765-4321</t>
  </si>
  <si>
    <t xml:space="preserve">R$4.500,00</t>
  </si>
  <si>
    <t xml:space="preserve">15/03/2023</t>
  </si>
  <si>
    <t xml:space="preserve">Alice Silva</t>
  </si>
  <si>
    <t xml:space="preserve">alice.silva@gmail.com</t>
  </si>
  <si>
    <t xml:space="preserve">(11) 98765-4321</t>
  </si>
  <si>
    <t xml:space="preserve">4500.00</t>
  </si>
  <si>
    <t xml:space="preserve">Bruno  Oliveira</t>
  </si>
  <si>
    <t xml:space="preserve">bruno_oli@hotmail</t>
  </si>
  <si>
    <t xml:space="preserve">11987654321</t>
  </si>
  <si>
    <t xml:space="preserve">4800</t>
  </si>
  <si>
    <t xml:space="preserve">2023-04-01</t>
  </si>
  <si>
    <t xml:space="preserve">Bruno Oliveira</t>
  </si>
  <si>
    <t xml:space="preserve">bruno_oli@hotmail.com</t>
  </si>
  <si>
    <t xml:space="preserve">4800.00</t>
  </si>
  <si>
    <t xml:space="preserve">01/04/2023</t>
  </si>
  <si>
    <t xml:space="preserve">Carla dos Santos </t>
  </si>
  <si>
    <t xml:space="preserve">carla@santos.com</t>
  </si>
  <si>
    <t xml:space="preserve">(11)99887-7665</t>
  </si>
  <si>
    <t xml:space="preserve">R$ 5.200</t>
  </si>
  <si>
    <t xml:space="preserve">01-05-2023</t>
  </si>
  <si>
    <t xml:space="preserve">Carla dos Santos</t>
  </si>
  <si>
    <t xml:space="preserve">(11) 99887-7665</t>
  </si>
  <si>
    <t xml:space="preserve">5200.00</t>
  </si>
  <si>
    <t xml:space="preserve">01/05/2023</t>
  </si>
  <si>
    <t xml:space="preserve">DANIEL COSTA</t>
  </si>
  <si>
    <t xml:space="preserve">Daniel.Costa@yahoo.com</t>
  </si>
  <si>
    <t xml:space="preserve">(11) 9 1234-5678</t>
  </si>
  <si>
    <t xml:space="preserve">5,000.00</t>
  </si>
  <si>
    <t xml:space="preserve">June 2023</t>
  </si>
  <si>
    <t xml:space="preserve">Daniel Costa</t>
  </si>
  <si>
    <t xml:space="preserve">daniel.costa@yahoo.com</t>
  </si>
  <si>
    <t xml:space="preserve">(11) 91234-5678</t>
  </si>
  <si>
    <t xml:space="preserve">5000.00</t>
  </si>
  <si>
    <t xml:space="preserve">01/06/2023</t>
  </si>
  <si>
    <t xml:space="preserve">  Erica Matos</t>
  </si>
  <si>
    <t xml:space="preserve">ericamatos@</t>
  </si>
  <si>
    <t xml:space="preserve">11 9456-7890</t>
  </si>
  <si>
    <t xml:space="preserve">R$3.750,00</t>
  </si>
  <si>
    <t xml:space="preserve">10/07/2023</t>
  </si>
  <si>
    <t xml:space="preserve">Erica Matos</t>
  </si>
  <si>
    <t xml:space="preserve">ericamatos@empresa.com</t>
  </si>
  <si>
    <t xml:space="preserve">(11) 94567-7890</t>
  </si>
  <si>
    <t xml:space="preserve">3750.00</t>
  </si>
  <si>
    <t xml:space="preserve">Fernando Lima</t>
  </si>
  <si>
    <t xml:space="preserve">flima@empresa.com.br</t>
  </si>
  <si>
    <t xml:space="preserve">+55 11 98765-4321</t>
  </si>
  <si>
    <t xml:space="preserve">R$ 6.100,00</t>
  </si>
  <si>
    <t xml:space="preserve">2023/08/15</t>
  </si>
  <si>
    <t xml:space="preserve">6100.00</t>
  </si>
  <si>
    <t xml:space="preserve">15/08/2023</t>
  </si>
  <si>
    <t xml:space="preserve">Gabriela  Ramos</t>
  </si>
  <si>
    <t xml:space="preserve">gramos@gmail</t>
  </si>
  <si>
    <t xml:space="preserve">019 8765-4321</t>
  </si>
  <si>
    <t xml:space="preserve">4950</t>
  </si>
  <si>
    <t xml:space="preserve">20-09-2023</t>
  </si>
  <si>
    <t xml:space="preserve">Gabriela Ramos</t>
  </si>
  <si>
    <t xml:space="preserve">gramos@gmail.com</t>
  </si>
  <si>
    <t xml:space="preserve">(19) 98765-4321</t>
  </si>
  <si>
    <t xml:space="preserve">4950.00</t>
  </si>
  <si>
    <t xml:space="preserve">20/09/2023</t>
  </si>
  <si>
    <t xml:space="preserve">Henrique  Souza </t>
  </si>
  <si>
    <t xml:space="preserve">henrique@souza.net</t>
  </si>
  <si>
    <t xml:space="preserve">(19)98765432</t>
  </si>
  <si>
    <t xml:space="preserve">R$5.500</t>
  </si>
  <si>
    <t xml:space="preserve">10/10/2023</t>
  </si>
  <si>
    <t xml:space="preserve">Henrique Souza</t>
  </si>
  <si>
    <t xml:space="preserve">5500.00</t>
  </si>
  <si>
    <t xml:space="preserve">Issues found: 9 cells</t>
  </si>
  <si>
    <t xml:space="preserve">✔ All records standardized</t>
  </si>
  <si>
    <t xml:space="preserve">📋  CLEANING STEPS APPLIED</t>
  </si>
  <si>
    <t xml:space="preserve">TRIM()</t>
  </si>
  <si>
    <t xml:space="preserve">Remove leading/trailing spaces from all text fields</t>
  </si>
  <si>
    <t xml:space="preserve">PROPER()</t>
  </si>
  <si>
    <t xml:space="preserve">Standardize name casing (Title Case)</t>
  </si>
  <si>
    <t xml:space="preserve">LOWER()</t>
  </si>
  <si>
    <t xml:space="preserve">Normalize email addresses to lowercase</t>
  </si>
  <si>
    <t xml:space="preserve">TEXT()</t>
  </si>
  <si>
    <t xml:space="preserve">Unify date formats to DD/MM/YYYY</t>
  </si>
  <si>
    <t xml:space="preserve">VALUE()</t>
  </si>
  <si>
    <t xml:space="preserve">Convert salary strings to numeric values</t>
  </si>
  <si>
    <t xml:space="preserve">IF(ISNUMBER(FIND()))</t>
  </si>
  <si>
    <t xml:space="preserve">Validate email format with @ symbol check</t>
  </si>
  <si>
    <t xml:space="preserve">📊  PIVOT TABLE — SALES ANALYSIS BY REGION &amp; CATEGORY</t>
  </si>
  <si>
    <t xml:space="preserve">Source: Sales_Data sheet  |  Period: Jan–Jun 2024  |  Updated: Auto</t>
  </si>
  <si>
    <t xml:space="preserve">Region / Category</t>
  </si>
  <si>
    <t xml:space="preserve">Electronics</t>
  </si>
  <si>
    <t xml:space="preserve">Clothing</t>
  </si>
  <si>
    <t xml:space="preserve">Food</t>
  </si>
  <si>
    <t xml:space="preserve">Home &amp; Garden</t>
  </si>
  <si>
    <t xml:space="preserve">Total</t>
  </si>
  <si>
    <t xml:space="preserve">% of Grand Total</t>
  </si>
  <si>
    <t xml:space="preserve">📍 North</t>
  </si>
  <si>
    <t xml:space="preserve">📍 South</t>
  </si>
  <si>
    <t xml:space="preserve">📍 East</t>
  </si>
  <si>
    <t xml:space="preserve">📍 West</t>
  </si>
  <si>
    <t xml:space="preserve">🏆 GRAND TOTAL</t>
  </si>
  <si>
    <t xml:space="preserve">100.0%</t>
  </si>
  <si>
    <t xml:space="preserve">📅  MONTHLY BREAKDOWN — TOTAL SALES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</si>
  <si>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</si>
  <si>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</si>
  <si>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</si>
  <si>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</si>
  <si>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</si>
  <si>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</si>
  <si>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MoM Growth</t>
  </si>
  <si>
    <t xml:space="preserve">—</t>
  </si>
  <si>
    <t xml:space="preserve">🔢  FORMULA REFERENCE — KEY EXCEL FUNCTIONS</t>
  </si>
  <si>
    <t xml:space="preserve">📋  EMPLOYEE DATASET</t>
  </si>
  <si>
    <t xml:space="preserve">Name</t>
  </si>
  <si>
    <t xml:space="preserve">Department</t>
  </si>
  <si>
    <t xml:space="preserve">Years</t>
  </si>
  <si>
    <t xml:space="preserve">Performance</t>
  </si>
  <si>
    <t xml:space="preserve">Sales</t>
  </si>
  <si>
    <t xml:space="preserve">Excellent</t>
  </si>
  <si>
    <t xml:space="preserve">IT</t>
  </si>
  <si>
    <t xml:space="preserve">Good</t>
  </si>
  <si>
    <t xml:space="preserve">Carla Santos</t>
  </si>
  <si>
    <t xml:space="preserve">HR</t>
  </si>
  <si>
    <t xml:space="preserve">Average</t>
  </si>
  <si>
    <t xml:space="preserve">Finance</t>
  </si>
  <si>
    <t xml:space="preserve">Isabela Torres</t>
  </si>
  <si>
    <t xml:space="preserve">João Pereira</t>
  </si>
  <si>
    <t xml:space="preserve">📊  STATISTICAL FUNCTIONS</t>
  </si>
  <si>
    <t xml:space="preserve">Description</t>
  </si>
  <si>
    <t xml:space="preserve">Formula</t>
  </si>
  <si>
    <t xml:space="preserve">Function Used</t>
  </si>
  <si>
    <t xml:space="preserve">Result</t>
  </si>
  <si>
    <t xml:space="preserve">Total Salary</t>
  </si>
  <si>
    <t xml:space="preserve">SUM</t>
  </si>
  <si>
    <t xml:space="preserve">Average Salary</t>
  </si>
  <si>
    <t xml:space="preserve">AVERAGE</t>
  </si>
  <si>
    <t xml:space="preserve">Max Salary</t>
  </si>
  <si>
    <t xml:space="preserve">MAX</t>
  </si>
  <si>
    <t xml:space="preserve">Min Salary</t>
  </si>
  <si>
    <t xml:space="preserve">MIN</t>
  </si>
  <si>
    <t xml:space="preserve">Median Salary</t>
  </si>
  <si>
    <t xml:space="preserve">MEDIAN</t>
  </si>
  <si>
    <t xml:space="preserve">Std Deviation</t>
  </si>
  <si>
    <t xml:space="preserve">STDEV</t>
  </si>
  <si>
    <t xml:space="preserve">🔍  LOOKUP &amp; CONDITIONAL</t>
  </si>
  <si>
    <t xml:space="preserve">Count Excellent</t>
  </si>
  <si>
    <t xml:space="preserve">COUNTIF</t>
  </si>
  <si>
    <t xml:space="preserve">Sales Total Sal</t>
  </si>
  <si>
    <t xml:space="preserve">SUMIF</t>
  </si>
  <si>
    <t xml:space="preserve">Avg IT Salary</t>
  </si>
  <si>
    <t xml:space="preserve">AVERAGEIF</t>
  </si>
  <si>
    <t xml:space="preserve">Vlookup Demo</t>
  </si>
  <si>
    <t xml:space="preserve">VLOOKUP</t>
  </si>
  <si>
    <t xml:space="preserve">Xlookup Demo</t>
  </si>
  <si>
    <t xml:space="preserve">XLOOKUP</t>
  </si>
  <si>
    <t xml:space="preserve">Index Match</t>
  </si>
  <si>
    <t xml:space="preserve">INDEX/MATCH</t>
  </si>
  <si>
    <t xml:space="preserve">🧠  LOGICAL &amp; TEXT</t>
  </si>
  <si>
    <t xml:space="preserve">Seniority Label</t>
  </si>
  <si>
    <t xml:space="preserve">IF</t>
  </si>
  <si>
    <t xml:space="preserve">Bonus Flag</t>
  </si>
  <si>
    <t xml:space="preserve">IFS</t>
  </si>
  <si>
    <t xml:space="preserve">Full Email</t>
  </si>
  <si>
    <t xml:space="preserve">CONCAT/&amp;</t>
  </si>
  <si>
    <t xml:space="preserve">First Name</t>
  </si>
  <si>
    <t xml:space="preserve">LEFT/FIND</t>
  </si>
  <si>
    <t xml:space="preserve">Salary Rank</t>
  </si>
  <si>
    <t xml:space="preserve">RANK</t>
  </si>
  <si>
    <t xml:space="preserve">Dept Count</t>
  </si>
  <si>
    <t xml:space="preserve">COUNTIFS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</si>
</sst>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.0%"/>
    <numFmt numFmtId="167" formatCode="General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1A7E3F"/>
      <name val="Arial"/>
      <family val="0"/>
      <charset val="1"/>
    </font>
    <font>
      <b val="true"/>
      <sz val="10"/>
      <color rgb="FF1A7E3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1B2A47"/>
      <name val="Courier New"/>
      <family val="0"/>
      <charset val="1"/>
    </font>
    <font>
      <sz val="10"/>
      <name val="Arial"/>
      <family val="0"/>
      <charset val="1"/>
    </font>
    <font>
      <b val="true"/>
      <sz val="10"/>
      <color rgb="FF1A7E3F"/>
      <name val="Courier New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B2A47"/>
      <name val="Arial"/>
      <family val="0"/>
      <charset val="1"/>
    </font>
    <font>
      <b val="true"/>
      <sz val="10"/>
      <color rgb="FF2E4DA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sz val="9"/>
      <color rgb="FF1A7E3F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1B2A47"/>
      <name val="Courier New"/>
      <family val="0"/>
      <charset val="1"/>
    </font>
    <font>
      <b val="true"/>
      <sz val="9"/>
      <color rgb="FF1A7E3F"/>
      <name val="Arial"/>
      <family val="0"/>
      <charset val="1"/>
    </font>
    <font>
      <b val="true"/>
      <sz val="9"/>
      <color rgb="FF1B2A47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2A47"/>
        <bgColor rgb="FF003366"/>
      </patternFill>
    </fill>
    <fill>
      <patternFill patternType="solid">
        <fgColor rgb="FF2E4DA0"/>
        <bgColor rgb="FF4472C4"/>
      </patternFill>
    </fill>
    <fill>
      <patternFill patternType="solid">
        <fgColor rgb="FF1A7E3F"/>
        <bgColor rgb="FF008080"/>
      </patternFill>
    </fill>
    <fill>
      <patternFill patternType="solid">
        <fgColor rgb="FF4472C4"/>
        <bgColor rgb="FF2E4DA0"/>
      </patternFill>
    </fill>
    <fill>
      <patternFill patternType="solid">
        <fgColor rgb="FFF5F5F5"/>
        <bgColor rgb="FFFFFFFF"/>
      </patternFill>
    </fill>
    <fill>
      <patternFill patternType="solid">
        <fgColor rgb="FFFCE4D6"/>
        <bgColor rgb="FFFFE0CC"/>
      </patternFill>
    </fill>
    <fill>
      <patternFill patternType="solid">
        <fgColor rgb="FFD6F0E0"/>
        <bgColor rgb="FFD0F0F5"/>
      </patternFill>
    </fill>
    <fill>
      <patternFill patternType="solid">
        <fgColor rgb="FFFFD7D7"/>
        <bgColor rgb="FFFFE0CC"/>
      </patternFill>
    </fill>
    <fill>
      <patternFill patternType="solid">
        <fgColor rgb="FFFFF2CC"/>
        <bgColor rgb="FFFCE4D6"/>
      </patternFill>
    </fill>
    <fill>
      <patternFill patternType="solid">
        <fgColor rgb="FFFFE0CC"/>
        <bgColor rgb="FFFCE4D6"/>
      </patternFill>
    </fill>
    <fill>
      <patternFill patternType="solid">
        <fgColor rgb="FFD6E4F7"/>
        <bgColor rgb="FFD0F0F5"/>
      </patternFill>
    </fill>
    <fill>
      <patternFill patternType="solid">
        <fgColor rgb="FFD0F0F5"/>
        <bgColor rgb="FFD6F0E0"/>
      </patternFill>
    </fill>
    <fill>
      <patternFill patternType="solid">
        <fgColor rgb="FFFFFFFF"/>
        <bgColor rgb="FFF5F5F5"/>
      </patternFill>
    </fill>
    <fill>
      <patternFill patternType="solid">
        <fgColor rgb="FF595959"/>
        <bgColor rgb="FF2E4DA0"/>
      </patternFill>
    </fill>
    <fill>
      <patternFill patternType="solid">
        <fgColor rgb="FFE36C09"/>
        <bgColor rgb="FFFF99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7E3F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0F0F5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6F0E0"/>
      <rgbColor rgb="FFFCE4D6"/>
      <rgbColor rgb="FF99CCFF"/>
      <rgbColor rgb="FFFFE0CC"/>
      <rgbColor rgb="FFCC99FF"/>
      <rgbColor rgb="FFFFD7D7"/>
      <rgbColor rgb="FF4472C4"/>
      <rgbColor rgb="FF33CCCC"/>
      <rgbColor rgb="FF99CC00"/>
      <rgbColor rgb="FFFFCC00"/>
      <rgbColor rgb="FFFF9900"/>
      <rgbColor rgb="FFE36C09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E4DA0"/>
      <rgbColor rgb="FF1B2A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N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18"/>
    <col collapsed="false" customWidth="true" hidden="false" outlineLevel="0" max="8" min="8" style="1" width="2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3" min="13" style="1" width="16"/>
    <col collapsed="false" customWidth="true" hidden="false" outlineLevel="0" max="14" min="14" style="1" width="18"/>
    <col collapsed="false" customWidth="true" hidden="false" outlineLevel="0" max="15" min="15" style="1" width="2"/>
  </cols>
  <sheetData>
    <row r="1" customFormat="false" ht="6" hidden="false" customHeight="true" outlineLevel="0" collapsed="false"/>
    <row r="2" customFormat="false" ht="36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  <c r="I3" s="4" t="s">
        <v>2</v>
      </c>
      <c r="J3" s="4"/>
      <c r="K3" s="4"/>
      <c r="L3" s="4"/>
      <c r="M3" s="4"/>
      <c r="N3" s="4"/>
    </row>
    <row r="4" customFormat="false" ht="21.75" hidden="false" customHeight="true" outlineLevel="0" collapsed="false"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I4" s="6" t="s">
        <v>3</v>
      </c>
      <c r="J4" s="6" t="s">
        <v>4</v>
      </c>
      <c r="K4" s="6" t="s">
        <v>5</v>
      </c>
      <c r="L4" s="6" t="s">
        <v>6</v>
      </c>
      <c r="M4" s="6" t="s">
        <v>7</v>
      </c>
      <c r="N4" s="6" t="s">
        <v>8</v>
      </c>
    </row>
    <row r="5" customFormat="false" ht="15" hidden="false" customHeight="true" outlineLevel="0" collapsed="false">
      <c r="B5" s="7" t="n">
        <v>1</v>
      </c>
      <c r="C5" s="8" t="s">
        <v>9</v>
      </c>
      <c r="D5" s="7" t="s">
        <v>10</v>
      </c>
      <c r="E5" s="7" t="s">
        <v>11</v>
      </c>
      <c r="F5" s="7" t="s">
        <v>12</v>
      </c>
      <c r="G5" s="7" t="s">
        <v>13</v>
      </c>
      <c r="I5" s="9" t="n">
        <v>1</v>
      </c>
      <c r="J5" s="9" t="s">
        <v>14</v>
      </c>
      <c r="K5" s="9" t="s">
        <v>15</v>
      </c>
      <c r="L5" s="9" t="s">
        <v>16</v>
      </c>
      <c r="M5" s="10" t="s">
        <v>17</v>
      </c>
      <c r="N5" s="9" t="s">
        <v>13</v>
      </c>
    </row>
    <row r="6" customFormat="false" ht="15" hidden="false" customHeight="true" outlineLevel="0" collapsed="false">
      <c r="B6" s="7" t="n">
        <v>2</v>
      </c>
      <c r="C6" s="7" t="s">
        <v>18</v>
      </c>
      <c r="D6" s="11" t="s">
        <v>19</v>
      </c>
      <c r="E6" s="7" t="s">
        <v>20</v>
      </c>
      <c r="F6" s="12" t="s">
        <v>21</v>
      </c>
      <c r="G6" s="7" t="s">
        <v>22</v>
      </c>
      <c r="I6" s="9" t="n">
        <v>2</v>
      </c>
      <c r="J6" s="9" t="s">
        <v>23</v>
      </c>
      <c r="K6" s="9" t="s">
        <v>24</v>
      </c>
      <c r="L6" s="9" t="s">
        <v>16</v>
      </c>
      <c r="M6" s="10" t="s">
        <v>25</v>
      </c>
      <c r="N6" s="9" t="s">
        <v>26</v>
      </c>
    </row>
    <row r="7" customFormat="false" ht="15" hidden="false" customHeight="true" outlineLevel="0" collapsed="false">
      <c r="B7" s="7" t="n">
        <v>3</v>
      </c>
      <c r="C7" s="8" t="s">
        <v>27</v>
      </c>
      <c r="D7" s="7" t="s">
        <v>28</v>
      </c>
      <c r="E7" s="7" t="s">
        <v>29</v>
      </c>
      <c r="F7" s="7" t="s">
        <v>30</v>
      </c>
      <c r="G7" s="7" t="s">
        <v>31</v>
      </c>
      <c r="I7" s="9" t="n">
        <v>3</v>
      </c>
      <c r="J7" s="9" t="s">
        <v>32</v>
      </c>
      <c r="K7" s="9" t="s">
        <v>28</v>
      </c>
      <c r="L7" s="9" t="s">
        <v>33</v>
      </c>
      <c r="M7" s="10" t="s">
        <v>34</v>
      </c>
      <c r="N7" s="9" t="s">
        <v>35</v>
      </c>
    </row>
    <row r="8" customFormat="false" ht="15" hidden="false" customHeight="true" outlineLevel="0" collapsed="false">
      <c r="B8" s="13" t="n">
        <v>4</v>
      </c>
      <c r="C8" s="7" t="s">
        <v>36</v>
      </c>
      <c r="D8" s="7" t="s">
        <v>37</v>
      </c>
      <c r="E8" s="7" t="s">
        <v>38</v>
      </c>
      <c r="F8" s="7" t="s">
        <v>39</v>
      </c>
      <c r="G8" s="7" t="s">
        <v>40</v>
      </c>
      <c r="I8" s="9" t="n">
        <v>4</v>
      </c>
      <c r="J8" s="9" t="s">
        <v>41</v>
      </c>
      <c r="K8" s="9" t="s">
        <v>42</v>
      </c>
      <c r="L8" s="9" t="s">
        <v>43</v>
      </c>
      <c r="M8" s="10" t="s">
        <v>44</v>
      </c>
      <c r="N8" s="9" t="s">
        <v>45</v>
      </c>
    </row>
    <row r="9" customFormat="false" ht="15" hidden="false" customHeight="true" outlineLevel="0" collapsed="false">
      <c r="B9" s="7" t="n">
        <v>5</v>
      </c>
      <c r="C9" s="7" t="s">
        <v>46</v>
      </c>
      <c r="D9" s="11" t="s">
        <v>47</v>
      </c>
      <c r="E9" s="7" t="s">
        <v>48</v>
      </c>
      <c r="F9" s="7" t="s">
        <v>49</v>
      </c>
      <c r="G9" s="7" t="s">
        <v>50</v>
      </c>
      <c r="I9" s="9" t="n">
        <v>5</v>
      </c>
      <c r="J9" s="9" t="s">
        <v>51</v>
      </c>
      <c r="K9" s="9" t="s">
        <v>52</v>
      </c>
      <c r="L9" s="9" t="s">
        <v>53</v>
      </c>
      <c r="M9" s="10" t="s">
        <v>54</v>
      </c>
      <c r="N9" s="9" t="s">
        <v>50</v>
      </c>
    </row>
    <row r="10" customFormat="false" ht="15" hidden="false" customHeight="true" outlineLevel="0" collapsed="false">
      <c r="B10" s="7" t="n">
        <v>6</v>
      </c>
      <c r="C10" s="7" t="s">
        <v>55</v>
      </c>
      <c r="D10" s="7" t="s">
        <v>56</v>
      </c>
      <c r="E10" s="7" t="s">
        <v>57</v>
      </c>
      <c r="F10" s="7" t="s">
        <v>58</v>
      </c>
      <c r="G10" s="12" t="s">
        <v>59</v>
      </c>
      <c r="I10" s="9" t="n">
        <v>6</v>
      </c>
      <c r="J10" s="9" t="s">
        <v>55</v>
      </c>
      <c r="K10" s="9" t="s">
        <v>56</v>
      </c>
      <c r="L10" s="9" t="s">
        <v>16</v>
      </c>
      <c r="M10" s="10" t="s">
        <v>60</v>
      </c>
      <c r="N10" s="9" t="s">
        <v>61</v>
      </c>
    </row>
    <row r="11" customFormat="false" ht="15" hidden="false" customHeight="true" outlineLevel="0" collapsed="false">
      <c r="B11" s="7" t="n">
        <v>7</v>
      </c>
      <c r="C11" s="7" t="s">
        <v>62</v>
      </c>
      <c r="D11" s="11" t="s">
        <v>63</v>
      </c>
      <c r="E11" s="7" t="s">
        <v>64</v>
      </c>
      <c r="F11" s="7" t="s">
        <v>65</v>
      </c>
      <c r="G11" s="7" t="s">
        <v>66</v>
      </c>
      <c r="I11" s="9" t="n">
        <v>7</v>
      </c>
      <c r="J11" s="9" t="s">
        <v>67</v>
      </c>
      <c r="K11" s="9" t="s">
        <v>68</v>
      </c>
      <c r="L11" s="9" t="s">
        <v>69</v>
      </c>
      <c r="M11" s="10" t="s">
        <v>70</v>
      </c>
      <c r="N11" s="9" t="s">
        <v>71</v>
      </c>
    </row>
    <row r="12" customFormat="false" ht="15" hidden="false" customHeight="true" outlineLevel="0" collapsed="false">
      <c r="B12" s="7" t="n">
        <v>8</v>
      </c>
      <c r="C12" s="8" t="s">
        <v>72</v>
      </c>
      <c r="D12" s="7" t="s">
        <v>73</v>
      </c>
      <c r="E12" s="7" t="s">
        <v>74</v>
      </c>
      <c r="F12" s="7" t="s">
        <v>75</v>
      </c>
      <c r="G12" s="7" t="s">
        <v>76</v>
      </c>
      <c r="I12" s="9" t="n">
        <v>8</v>
      </c>
      <c r="J12" s="9" t="s">
        <v>77</v>
      </c>
      <c r="K12" s="9" t="s">
        <v>73</v>
      </c>
      <c r="L12" s="9" t="s">
        <v>69</v>
      </c>
      <c r="M12" s="10" t="s">
        <v>78</v>
      </c>
      <c r="N12" s="9" t="s">
        <v>76</v>
      </c>
    </row>
    <row r="13" customFormat="false" ht="15" hidden="false" customHeight="true" outlineLevel="0" collapsed="false">
      <c r="B13" s="14" t="s">
        <v>79</v>
      </c>
      <c r="C13" s="14"/>
      <c r="D13" s="14"/>
      <c r="E13" s="14"/>
      <c r="I13" s="15" t="s">
        <v>80</v>
      </c>
      <c r="J13" s="15"/>
      <c r="K13" s="15"/>
      <c r="L13" s="15"/>
    </row>
    <row r="15" customFormat="false" ht="15" hidden="false" customHeight="true" outlineLevel="0" collapsed="false">
      <c r="B15" s="16" t="s">
        <v>81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customFormat="false" ht="18" hidden="false" customHeight="true" outlineLevel="0" collapsed="false">
      <c r="B16" s="17" t="s">
        <v>82</v>
      </c>
      <c r="C16" s="18" t="s">
        <v>83</v>
      </c>
      <c r="D16" s="18"/>
      <c r="E16" s="18"/>
      <c r="F16" s="18"/>
      <c r="G16" s="18"/>
      <c r="I16" s="19" t="s">
        <v>82</v>
      </c>
      <c r="J16" s="18" t="s">
        <v>83</v>
      </c>
      <c r="K16" s="18"/>
      <c r="L16" s="18"/>
      <c r="M16" s="18"/>
      <c r="N16" s="18"/>
    </row>
    <row r="17" customFormat="false" ht="18" hidden="false" customHeight="true" outlineLevel="0" collapsed="false">
      <c r="B17" s="17" t="s">
        <v>84</v>
      </c>
      <c r="C17" s="18" t="s">
        <v>85</v>
      </c>
      <c r="D17" s="18"/>
      <c r="E17" s="18"/>
      <c r="F17" s="18"/>
      <c r="G17" s="18"/>
      <c r="I17" s="19" t="s">
        <v>84</v>
      </c>
      <c r="J17" s="18" t="s">
        <v>85</v>
      </c>
      <c r="K17" s="18"/>
      <c r="L17" s="18"/>
      <c r="M17" s="18"/>
      <c r="N17" s="18"/>
    </row>
    <row r="18" customFormat="false" ht="18" hidden="false" customHeight="true" outlineLevel="0" collapsed="false">
      <c r="B18" s="17" t="s">
        <v>86</v>
      </c>
      <c r="C18" s="18" t="s">
        <v>87</v>
      </c>
      <c r="D18" s="18"/>
      <c r="E18" s="18"/>
      <c r="F18" s="18"/>
      <c r="G18" s="18"/>
      <c r="I18" s="19" t="s">
        <v>86</v>
      </c>
      <c r="J18" s="18" t="s">
        <v>87</v>
      </c>
      <c r="K18" s="18"/>
      <c r="L18" s="18"/>
      <c r="M18" s="18"/>
      <c r="N18" s="18"/>
    </row>
    <row r="19" customFormat="false" ht="18" hidden="false" customHeight="true" outlineLevel="0" collapsed="false">
      <c r="B19" s="17" t="s">
        <v>88</v>
      </c>
      <c r="C19" s="18" t="s">
        <v>89</v>
      </c>
      <c r="D19" s="18"/>
      <c r="E19" s="18"/>
      <c r="F19" s="18"/>
      <c r="G19" s="18"/>
      <c r="I19" s="19" t="s">
        <v>88</v>
      </c>
      <c r="J19" s="18" t="s">
        <v>89</v>
      </c>
      <c r="K19" s="18"/>
      <c r="L19" s="18"/>
      <c r="M19" s="18"/>
      <c r="N19" s="18"/>
    </row>
    <row r="20" customFormat="false" ht="18" hidden="false" customHeight="true" outlineLevel="0" collapsed="false">
      <c r="B20" s="17" t="s">
        <v>90</v>
      </c>
      <c r="C20" s="18" t="s">
        <v>91</v>
      </c>
      <c r="D20" s="18"/>
      <c r="E20" s="18"/>
      <c r="F20" s="18"/>
      <c r="G20" s="18"/>
      <c r="I20" s="19" t="s">
        <v>90</v>
      </c>
      <c r="J20" s="18" t="s">
        <v>91</v>
      </c>
      <c r="K20" s="18"/>
      <c r="L20" s="18"/>
      <c r="M20" s="18"/>
      <c r="N20" s="18"/>
    </row>
    <row r="21" customFormat="false" ht="18" hidden="false" customHeight="true" outlineLevel="0" collapsed="false">
      <c r="B21" s="17" t="s">
        <v>92</v>
      </c>
      <c r="C21" s="18" t="s">
        <v>93</v>
      </c>
      <c r="D21" s="18"/>
      <c r="E21" s="18"/>
      <c r="F21" s="18"/>
      <c r="G21" s="18"/>
      <c r="I21" s="19" t="s">
        <v>92</v>
      </c>
      <c r="J21" s="18" t="s">
        <v>93</v>
      </c>
      <c r="K21" s="18"/>
      <c r="L21" s="18"/>
      <c r="M21" s="18"/>
      <c r="N21" s="18"/>
    </row>
  </sheetData>
  <mergeCells count="18">
    <mergeCell ref="B2:N2"/>
    <mergeCell ref="B3:G3"/>
    <mergeCell ref="I3:N3"/>
    <mergeCell ref="B13:E13"/>
    <mergeCell ref="I13:L13"/>
    <mergeCell ref="B15:N15"/>
    <mergeCell ref="C16:G16"/>
    <mergeCell ref="J16:N16"/>
    <mergeCell ref="C17:G17"/>
    <mergeCell ref="J17:N17"/>
    <mergeCell ref="C18:G18"/>
    <mergeCell ref="J18:N18"/>
    <mergeCell ref="C19:G19"/>
    <mergeCell ref="J19:N19"/>
    <mergeCell ref="C20:G20"/>
    <mergeCell ref="J20:N20"/>
    <mergeCell ref="C21:G21"/>
    <mergeCell ref="J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4DA0"/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7" min="3" style="1" width="16"/>
    <col collapsed="false" customWidth="true" hidden="false" outlineLevel="0" max="8" min="8" style="1" width="14"/>
    <col collapsed="false" customWidth="true" hidden="false" outlineLevel="0" max="9" min="9" style="1" width="2"/>
  </cols>
  <sheetData>
    <row r="2" customFormat="false" ht="36" hidden="false" customHeight="true" outlineLevel="0" collapsed="false">
      <c r="B2" s="20" t="s">
        <v>94</v>
      </c>
      <c r="C2" s="20"/>
      <c r="D2" s="20"/>
      <c r="E2" s="20"/>
      <c r="F2" s="20"/>
      <c r="G2" s="20"/>
      <c r="H2" s="20"/>
    </row>
    <row r="3" customFormat="false" ht="19.5" hidden="false" customHeight="true" outlineLevel="0" collapsed="false">
      <c r="B3" s="21" t="s">
        <v>95</v>
      </c>
      <c r="C3" s="21"/>
      <c r="D3" s="21"/>
      <c r="E3" s="21"/>
      <c r="F3" s="21"/>
      <c r="G3" s="21"/>
      <c r="H3" s="21"/>
    </row>
    <row r="5" customFormat="false" ht="23.25" hidden="false" customHeight="true" outlineLevel="0" collapsed="false">
      <c r="B5" s="22" t="s">
        <v>96</v>
      </c>
      <c r="C5" s="22" t="s">
        <v>97</v>
      </c>
      <c r="D5" s="22" t="s">
        <v>98</v>
      </c>
      <c r="E5" s="22" t="s">
        <v>99</v>
      </c>
      <c r="F5" s="22" t="s">
        <v>100</v>
      </c>
      <c r="G5" s="22" t="s">
        <v>101</v>
      </c>
      <c r="H5" s="22" t="s">
        <v>102</v>
      </c>
    </row>
    <row r="6" customFormat="false" ht="19.5" hidden="false" customHeight="true" outlineLevel="0" collapsed="false">
      <c r="B6" s="23" t="s">
        <v>103</v>
      </c>
      <c r="C6" s="24" t="n">
        <v>48500</v>
      </c>
      <c r="D6" s="24" t="n">
        <v>22300</v>
      </c>
      <c r="E6" s="24" t="n">
        <v>31200</v>
      </c>
      <c r="F6" s="24" t="n">
        <v>18700</v>
      </c>
      <c r="G6" s="25" t="n">
        <f aca="false">SUM(C6:F6)</f>
        <v>120700</v>
      </c>
      <c r="H6" s="26" t="n">
        <f aca="false">IFERROR(G6/G11,0)</f>
        <v>0</v>
      </c>
    </row>
    <row r="7" customFormat="false" ht="19.5" hidden="false" customHeight="true" outlineLevel="0" collapsed="false">
      <c r="B7" s="27" t="s">
        <v>104</v>
      </c>
      <c r="C7" s="28" t="n">
        <v>35200</v>
      </c>
      <c r="D7" s="28" t="n">
        <v>29800</v>
      </c>
      <c r="E7" s="28" t="n">
        <v>27600</v>
      </c>
      <c r="F7" s="28" t="n">
        <v>21400</v>
      </c>
      <c r="G7" s="25" t="n">
        <f aca="false">SUM(C7:F7)</f>
        <v>114000</v>
      </c>
      <c r="H7" s="26" t="n">
        <f aca="false">IFERROR(G7/G11,0)</f>
        <v>0</v>
      </c>
    </row>
    <row r="8" customFormat="false" ht="19.5" hidden="false" customHeight="true" outlineLevel="0" collapsed="false">
      <c r="B8" s="29" t="s">
        <v>105</v>
      </c>
      <c r="C8" s="30" t="n">
        <v>52100</v>
      </c>
      <c r="D8" s="30" t="n">
        <v>18500</v>
      </c>
      <c r="E8" s="30" t="n">
        <v>33800</v>
      </c>
      <c r="F8" s="30" t="n">
        <v>24900</v>
      </c>
      <c r="G8" s="25" t="n">
        <f aca="false">SUM(C8:F8)</f>
        <v>129300</v>
      </c>
      <c r="H8" s="26" t="n">
        <f aca="false">IFERROR(G8/G11,0)</f>
        <v>0</v>
      </c>
    </row>
    <row r="9" customFormat="false" ht="19.5" hidden="false" customHeight="true" outlineLevel="0" collapsed="false">
      <c r="B9" s="31" t="s">
        <v>106</v>
      </c>
      <c r="C9" s="32" t="n">
        <v>41700</v>
      </c>
      <c r="D9" s="32" t="n">
        <v>25600</v>
      </c>
      <c r="E9" s="32" t="n">
        <v>29100</v>
      </c>
      <c r="F9" s="32" t="n">
        <v>17800</v>
      </c>
      <c r="G9" s="25" t="n">
        <f aca="false">SUM(C9:F9)</f>
        <v>114200</v>
      </c>
      <c r="H9" s="26" t="n">
        <f aca="false">IFERROR(G9/G11,0)</f>
        <v>0</v>
      </c>
    </row>
    <row r="10" customFormat="false" ht="21.75" hidden="false" customHeight="true" outlineLevel="0" collapsed="false">
      <c r="B10" s="33" t="s">
        <v>107</v>
      </c>
      <c r="C10" s="34" t="n">
        <f aca="false">SUM(C6:C9)</f>
        <v>177500</v>
      </c>
      <c r="D10" s="34" t="n">
        <f aca="false">SUM(D6:D9)</f>
        <v>96200</v>
      </c>
      <c r="E10" s="34" t="n">
        <f aca="false">SUM(E6:E9)</f>
        <v>121700</v>
      </c>
      <c r="F10" s="34" t="n">
        <f aca="false">SUM(F6:F9)</f>
        <v>82800</v>
      </c>
      <c r="G10" s="35" t="n">
        <f aca="false">SUM(C10:F10)</f>
        <v>478200</v>
      </c>
      <c r="H10" s="36" t="s">
        <v>108</v>
      </c>
    </row>
    <row r="14" customFormat="false" ht="15" hidden="false" customHeight="true" outlineLevel="0" collapsed="false">
      <c r="B14" s="37" t="s">
        <v>109</v>
      </c>
      <c r="C14" s="37"/>
      <c r="D14" s="37"/>
      <c r="E14" s="37"/>
      <c r="F14" s="37"/>
      <c r="G14" s="37"/>
      <c r="H14" s="37"/>
    </row>
    <row r="15" customFormat="false" ht="15" hidden="false" customHeight="true" outlineLevel="0" collapsed="false">
      <c r="B15" s="5" t="s">
        <v>110</v>
      </c>
      <c r="C15" s="5" t="s">
        <v>111</v>
      </c>
      <c r="D15" s="5" t="s">
        <v>112</v>
      </c>
      <c r="E15" s="5" t="s">
        <v>113</v>
      </c>
      <c r="F15" s="5" t="s">
        <v>114</v>
      </c>
      <c r="G15" s="5" t="s">
        <v>115</v>
      </c>
    </row>
    <row r="16" customFormat="false" ht="15" hidden="false" customHeight="true" outlineLevel="0" collapsed="false">
      <c r="B16" s="24" t="n">
        <v>124500</v>
      </c>
      <c r="C16" s="38" t="n">
        <v>138200</v>
      </c>
      <c r="D16" s="24" t="n">
        <v>152800</v>
      </c>
      <c r="E16" s="38" t="n">
        <v>147300</v>
      </c>
      <c r="F16" s="24" t="n">
        <v>165400</v>
      </c>
      <c r="G16" s="38" t="n">
        <v>178900</v>
      </c>
    </row>
    <row r="17" customFormat="false" ht="15" hidden="false" customHeight="true" outlineLevel="0" collapsed="false">
      <c r="B17" s="39" t="s">
        <v>116</v>
      </c>
      <c r="C17" s="40" t="s">
        <v>117</v>
      </c>
      <c r="D17" s="41" t="n">
        <f aca="false">(D16-C16)/C16</f>
        <v>0.105643994211288</v>
      </c>
      <c r="E17" s="41" t="n">
        <f aca="false">(E16-D16)/D16</f>
        <v>-0.0359947643979058</v>
      </c>
      <c r="F17" s="42" t="n">
        <f aca="false">(F16-E16)/E16</f>
        <v>0.122878479293958</v>
      </c>
      <c r="G17" s="41" t="n">
        <f aca="false">(G16-F16)/F16</f>
        <v>0.0816203143893591</v>
      </c>
      <c r="H17" s="41" t="n">
        <f aca="false">(H16-G16)/G16</f>
        <v>-1</v>
      </c>
    </row>
  </sheetData>
  <mergeCells count="3">
    <mergeCell ref="B2:H2"/>
    <mergeCell ref="B3:H3"/>
    <mergeCell ref="B14:H14"/>
  </mergeCells>
  <conditionalFormatting sqref="C6:F9">
    <cfRule type="colorScale" priority="2">
      <colorScale>
        <cfvo type="min" val="0"/>
        <cfvo type="percentile" val="50"/>
        <cfvo type="max" val="0"/>
        <color rgb="FFFCE4D6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7E3F"/>
    <pageSetUpPr fitToPage="false"/>
  </sheetPr>
  <dimension ref="B2:F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2"/>
    <col collapsed="false" customWidth="true" hidden="false" outlineLevel="0" max="3" min="3" style="1" width="32"/>
    <col collapsed="false" customWidth="true" hidden="false" outlineLevel="0" max="4" min="4" style="1" width="28"/>
    <col collapsed="false" customWidth="true" hidden="false" outlineLevel="0" max="6" min="5" style="1" width="14"/>
    <col collapsed="false" customWidth="true" hidden="false" outlineLevel="0" max="7" min="7" style="1" width="2"/>
  </cols>
  <sheetData>
    <row r="2" customFormat="false" ht="36" hidden="false" customHeight="true" outlineLevel="0" collapsed="false">
      <c r="B2" s="20" t="s">
        <v>118</v>
      </c>
      <c r="C2" s="20"/>
      <c r="D2" s="20"/>
      <c r="E2" s="20"/>
      <c r="F2" s="20"/>
    </row>
    <row r="4" customFormat="false" ht="15" hidden="false" customHeight="true" outlineLevel="0" collapsed="false">
      <c r="B4" s="3" t="s">
        <v>119</v>
      </c>
      <c r="C4" s="3"/>
      <c r="D4" s="3"/>
      <c r="E4" s="3"/>
      <c r="F4" s="3"/>
    </row>
    <row r="5" customFormat="false" ht="15" hidden="false" customHeight="true" outlineLevel="0" collapsed="false">
      <c r="B5" s="5" t="s">
        <v>120</v>
      </c>
      <c r="C5" s="5" t="s">
        <v>121</v>
      </c>
      <c r="D5" s="5" t="s">
        <v>7</v>
      </c>
      <c r="E5" s="5" t="s">
        <v>122</v>
      </c>
      <c r="F5" s="5" t="s">
        <v>123</v>
      </c>
    </row>
    <row r="6" customFormat="false" ht="18" hidden="false" customHeight="true" outlineLevel="0" collapsed="false">
      <c r="B6" s="43" t="s">
        <v>14</v>
      </c>
      <c r="C6" s="43" t="s">
        <v>124</v>
      </c>
      <c r="D6" s="44" t="n">
        <v>4500</v>
      </c>
      <c r="E6" s="45" t="n">
        <v>3</v>
      </c>
      <c r="F6" s="46" t="s">
        <v>125</v>
      </c>
    </row>
    <row r="7" customFormat="false" ht="18" hidden="false" customHeight="true" outlineLevel="0" collapsed="false">
      <c r="B7" s="43" t="s">
        <v>23</v>
      </c>
      <c r="C7" s="43" t="s">
        <v>126</v>
      </c>
      <c r="D7" s="44" t="n">
        <v>5800</v>
      </c>
      <c r="E7" s="45" t="n">
        <v>5</v>
      </c>
      <c r="F7" s="47" t="s">
        <v>127</v>
      </c>
    </row>
    <row r="8" customFormat="false" ht="18" hidden="false" customHeight="true" outlineLevel="0" collapsed="false">
      <c r="B8" s="43" t="s">
        <v>128</v>
      </c>
      <c r="C8" s="43" t="s">
        <v>129</v>
      </c>
      <c r="D8" s="44" t="n">
        <v>4200</v>
      </c>
      <c r="E8" s="45" t="n">
        <v>2</v>
      </c>
      <c r="F8" s="47" t="s">
        <v>127</v>
      </c>
    </row>
    <row r="9" customFormat="false" ht="18" hidden="false" customHeight="true" outlineLevel="0" collapsed="false">
      <c r="B9" s="43" t="s">
        <v>41</v>
      </c>
      <c r="C9" s="43" t="s">
        <v>124</v>
      </c>
      <c r="D9" s="44" t="n">
        <v>6100</v>
      </c>
      <c r="E9" s="45" t="n">
        <v>7</v>
      </c>
      <c r="F9" s="46" t="s">
        <v>125</v>
      </c>
    </row>
    <row r="10" customFormat="false" ht="18" hidden="false" customHeight="true" outlineLevel="0" collapsed="false">
      <c r="B10" s="43" t="s">
        <v>51</v>
      </c>
      <c r="C10" s="43" t="s">
        <v>126</v>
      </c>
      <c r="D10" s="44" t="n">
        <v>5200</v>
      </c>
      <c r="E10" s="45" t="n">
        <v>4</v>
      </c>
      <c r="F10" s="48" t="s">
        <v>130</v>
      </c>
    </row>
    <row r="11" customFormat="false" ht="18" hidden="false" customHeight="true" outlineLevel="0" collapsed="false">
      <c r="B11" s="43" t="s">
        <v>55</v>
      </c>
      <c r="C11" s="43" t="s">
        <v>131</v>
      </c>
      <c r="D11" s="44" t="n">
        <v>7800</v>
      </c>
      <c r="E11" s="45" t="n">
        <v>9</v>
      </c>
      <c r="F11" s="46" t="s">
        <v>125</v>
      </c>
    </row>
    <row r="12" customFormat="false" ht="18" hidden="false" customHeight="true" outlineLevel="0" collapsed="false">
      <c r="B12" s="43" t="s">
        <v>67</v>
      </c>
      <c r="C12" s="43" t="s">
        <v>129</v>
      </c>
      <c r="D12" s="44" t="n">
        <v>4600</v>
      </c>
      <c r="E12" s="45" t="n">
        <v>3</v>
      </c>
      <c r="F12" s="47" t="s">
        <v>127</v>
      </c>
    </row>
    <row r="13" customFormat="false" ht="18" hidden="false" customHeight="true" outlineLevel="0" collapsed="false">
      <c r="B13" s="43" t="s">
        <v>77</v>
      </c>
      <c r="C13" s="43" t="s">
        <v>131</v>
      </c>
      <c r="D13" s="44" t="n">
        <v>8200</v>
      </c>
      <c r="E13" s="45" t="n">
        <v>11</v>
      </c>
      <c r="F13" s="46" t="s">
        <v>125</v>
      </c>
    </row>
    <row r="14" customFormat="false" ht="18" hidden="false" customHeight="true" outlineLevel="0" collapsed="false">
      <c r="B14" s="43" t="s">
        <v>132</v>
      </c>
      <c r="C14" s="43" t="s">
        <v>124</v>
      </c>
      <c r="D14" s="44" t="n">
        <v>5100</v>
      </c>
      <c r="E14" s="45" t="n">
        <v>6</v>
      </c>
      <c r="F14" s="48" t="s">
        <v>130</v>
      </c>
    </row>
    <row r="15" customFormat="false" ht="18" hidden="false" customHeight="true" outlineLevel="0" collapsed="false">
      <c r="B15" s="43" t="s">
        <v>133</v>
      </c>
      <c r="C15" s="43" t="s">
        <v>126</v>
      </c>
      <c r="D15" s="44" t="n">
        <v>6300</v>
      </c>
      <c r="E15" s="45" t="n">
        <v>5</v>
      </c>
      <c r="F15" s="47" t="s">
        <v>127</v>
      </c>
    </row>
    <row r="18" customFormat="false" ht="15" hidden="false" customHeight="true" outlineLevel="0" collapsed="false">
      <c r="B18" s="3" t="s">
        <v>134</v>
      </c>
      <c r="C18" s="3"/>
      <c r="D18" s="3"/>
      <c r="E18" s="3"/>
      <c r="F18" s="3"/>
    </row>
    <row r="19" customFormat="false" ht="15" hidden="false" customHeight="true" outlineLevel="0" collapsed="false">
      <c r="B19" s="49" t="s">
        <v>135</v>
      </c>
      <c r="C19" s="49" t="s">
        <v>136</v>
      </c>
      <c r="D19" s="49" t="s">
        <v>137</v>
      </c>
      <c r="E19" s="49" t="s">
        <v>138</v>
      </c>
    </row>
    <row r="20" customFormat="false" ht="18" hidden="false" customHeight="true" outlineLevel="0" collapsed="false">
      <c r="B20" s="50" t="s">
        <v>139</v>
      </c>
      <c r="C20" s="51" t="n">
        <f aca="false">SUM(D6:D15)</f>
        <v>57800</v>
      </c>
      <c r="D20" s="52" t="s">
        <v>140</v>
      </c>
      <c r="E20" s="53" t="n">
        <f aca="false">SUM(D6:D15)</f>
        <v>57800</v>
      </c>
    </row>
    <row r="21" customFormat="false" ht="18" hidden="false" customHeight="true" outlineLevel="0" collapsed="false">
      <c r="B21" s="50" t="s">
        <v>141</v>
      </c>
      <c r="C21" s="51" t="n">
        <f aca="false">AVERAGE(D6:D15)</f>
        <v>5780</v>
      </c>
      <c r="D21" s="52" t="s">
        <v>142</v>
      </c>
      <c r="E21" s="53" t="n">
        <f aca="false">AVERAGE(D6:D15)</f>
        <v>5780</v>
      </c>
    </row>
    <row r="22" customFormat="false" ht="18" hidden="false" customHeight="true" outlineLevel="0" collapsed="false">
      <c r="B22" s="50" t="s">
        <v>143</v>
      </c>
      <c r="C22" s="51" t="n">
        <f aca="false">MAX(D6:D15)</f>
        <v>8200</v>
      </c>
      <c r="D22" s="52" t="s">
        <v>144</v>
      </c>
      <c r="E22" s="53" t="n">
        <f aca="false">MAX(D6:D15)</f>
        <v>8200</v>
      </c>
    </row>
    <row r="23" customFormat="false" ht="18" hidden="false" customHeight="true" outlineLevel="0" collapsed="false">
      <c r="B23" s="50" t="s">
        <v>145</v>
      </c>
      <c r="C23" s="51" t="n">
        <f aca="false">MIN(D6:D15)</f>
        <v>4200</v>
      </c>
      <c r="D23" s="52" t="s">
        <v>146</v>
      </c>
      <c r="E23" s="53" t="n">
        <f aca="false">MIN(D6:D15)</f>
        <v>4200</v>
      </c>
    </row>
    <row r="24" customFormat="false" ht="18" hidden="false" customHeight="true" outlineLevel="0" collapsed="false">
      <c r="B24" s="50" t="s">
        <v>147</v>
      </c>
      <c r="C24" s="54" t="n">
        <f aca="false">MEDIAN(D6:D15)</f>
        <v>5500</v>
      </c>
      <c r="D24" s="52" t="s">
        <v>148</v>
      </c>
      <c r="E24" s="53" t="n">
        <f aca="false">MEDIAN(D6:D15)</f>
        <v>5500</v>
      </c>
    </row>
    <row r="25" customFormat="false" ht="18" hidden="false" customHeight="true" outlineLevel="0" collapsed="false">
      <c r="B25" s="50" t="s">
        <v>149</v>
      </c>
      <c r="C25" s="54" t="n">
        <f aca="false">STDEV(D6:D15)</f>
        <v>1359.57509702276</v>
      </c>
      <c r="D25" s="52" t="s">
        <v>150</v>
      </c>
      <c r="E25" s="55" t="n">
        <f aca="false">STDEV(D6:D15)</f>
        <v>1359.57509702276</v>
      </c>
    </row>
    <row r="27" customFormat="false" ht="15" hidden="false" customHeight="true" outlineLevel="0" collapsed="false">
      <c r="B27" s="4" t="s">
        <v>151</v>
      </c>
      <c r="C27" s="4"/>
      <c r="D27" s="4"/>
      <c r="E27" s="4"/>
      <c r="F27" s="4"/>
    </row>
    <row r="28" customFormat="false" ht="15" hidden="false" customHeight="true" outlineLevel="0" collapsed="false">
      <c r="B28" s="49" t="s">
        <v>135</v>
      </c>
      <c r="C28" s="49" t="s">
        <v>136</v>
      </c>
      <c r="D28" s="49" t="s">
        <v>137</v>
      </c>
      <c r="E28" s="49" t="s">
        <v>138</v>
      </c>
    </row>
    <row r="29" customFormat="false" ht="18" hidden="false" customHeight="true" outlineLevel="0" collapsed="false">
      <c r="B29" s="50" t="s">
        <v>152</v>
      </c>
      <c r="C29" s="54" t="n">
        <f aca="false">COUNTIF(F6:F15,"Excellent")</f>
        <v>4</v>
      </c>
      <c r="D29" s="52" t="s">
        <v>153</v>
      </c>
      <c r="E29" s="55" t="n">
        <f aca="false">COUNTIF(F6:F15,"Excellent")</f>
        <v>4</v>
      </c>
    </row>
    <row r="30" customFormat="false" ht="18" hidden="false" customHeight="true" outlineLevel="0" collapsed="false">
      <c r="B30" s="50" t="s">
        <v>154</v>
      </c>
      <c r="C30" s="54" t="n">
        <f aca="false">SUMIF(C6:C15,"Sales",D6:D15)</f>
        <v>15700</v>
      </c>
      <c r="D30" s="52" t="s">
        <v>155</v>
      </c>
      <c r="E30" s="53" t="n">
        <f aca="false">SUMIF(C6:C15,"Sales",D6:D15)</f>
        <v>15700</v>
      </c>
    </row>
    <row r="31" customFormat="false" ht="18" hidden="false" customHeight="true" outlineLevel="0" collapsed="false">
      <c r="B31" s="50" t="s">
        <v>156</v>
      </c>
      <c r="C31" s="54" t="n">
        <f aca="false">AVERAGEIF(C6:C15,"IT",D6:D15)</f>
        <v>5766.66666666667</v>
      </c>
      <c r="D31" s="52" t="s">
        <v>157</v>
      </c>
      <c r="E31" s="53" t="n">
        <f aca="false">AVERAGEIF(C6:C15,"IT",D6:D15)</f>
        <v>5766.66666666667</v>
      </c>
    </row>
    <row r="32" customFormat="false" ht="18" hidden="false" customHeight="true" outlineLevel="0" collapsed="false">
      <c r="B32" s="50" t="s">
        <v>158</v>
      </c>
      <c r="C32" s="54" t="n">
        <f aca="false">VLOOKUP("IT",C6:D15,2,FALSE())</f>
        <v>5800</v>
      </c>
      <c r="D32" s="52" t="s">
        <v>159</v>
      </c>
      <c r="E32" s="55" t="n">
        <f aca="false">VLOOKUP("IT",C6:D15,2,FALSE())</f>
        <v>5800</v>
      </c>
    </row>
    <row r="33" customFormat="false" ht="18" hidden="false" customHeight="true" outlineLevel="0" collapsed="false">
      <c r="B33" s="50" t="s">
        <v>160</v>
      </c>
      <c r="C33" s="51" t="n">
        <f aca="false">INDEX(D6:D15,MATCH("Alice Silva",B6:B15,0))</f>
        <v>4500</v>
      </c>
      <c r="D33" s="52" t="s">
        <v>161</v>
      </c>
      <c r="E33" s="53" t="n">
        <f aca="false">INDEX(D6:D15,MATCH("Alice Silva",B6:B15,0))</f>
        <v>4500</v>
      </c>
    </row>
    <row r="34" customFormat="false" ht="18" hidden="false" customHeight="true" outlineLevel="0" collapsed="false">
      <c r="B34" s="50" t="s">
        <v>162</v>
      </c>
      <c r="C34" s="51" t="n">
        <f aca="false">INDEX(D6:D15,MATCH("Fernando Lima",B6:B15,0))</f>
        <v>7800</v>
      </c>
      <c r="D34" s="52" t="s">
        <v>163</v>
      </c>
      <c r="E34" s="53" t="n">
        <f aca="false">INDEX(D6:D15,MATCH("Fernando Lima",B6:B15,0))</f>
        <v>7800</v>
      </c>
    </row>
    <row r="36" customFormat="false" ht="15" hidden="false" customHeight="true" outlineLevel="0" collapsed="false">
      <c r="B36" s="56" t="s">
        <v>164</v>
      </c>
      <c r="C36" s="56"/>
      <c r="D36" s="56"/>
      <c r="E36" s="56"/>
      <c r="F36" s="56"/>
    </row>
    <row r="37" customFormat="false" ht="15" hidden="false" customHeight="true" outlineLevel="0" collapsed="false">
      <c r="B37" s="49" t="s">
        <v>135</v>
      </c>
      <c r="C37" s="49" t="s">
        <v>136</v>
      </c>
      <c r="D37" s="49" t="s">
        <v>137</v>
      </c>
      <c r="E37" s="49" t="s">
        <v>138</v>
      </c>
    </row>
    <row r="38" customFormat="false" ht="18" hidden="false" customHeight="true" outlineLevel="0" collapsed="false">
      <c r="B38" s="50" t="s">
        <v>165</v>
      </c>
      <c r="C38" s="54" t="str">
        <f aca="false">IF(E6&gt;=5,"Senior","Junior")</f>
        <v>Junior</v>
      </c>
      <c r="D38" s="52" t="s">
        <v>166</v>
      </c>
      <c r="E38" s="55" t="str">
        <f aca="false">IF(E6&gt;=5,"Senior","Junior")</f>
        <v>Junior</v>
      </c>
    </row>
    <row r="39" customFormat="false" ht="18" hidden="false" customHeight="true" outlineLevel="0" collapsed="false">
      <c r="B39" s="50" t="s">
        <v>167</v>
      </c>
      <c r="C39" s="54" t="str">
        <f aca="false">IF(D6&gt;7000,"Gold",IF(D6&gt;5000,"Silver","Bronze"))</f>
        <v>Bronze</v>
      </c>
      <c r="D39" s="52" t="s">
        <v>168</v>
      </c>
      <c r="E39" s="55" t="str">
        <f aca="false">IF(D6&gt;7000,"Gold",IF(D6&gt;5000,"Silver","Bronze"))</f>
        <v>Bronze</v>
      </c>
    </row>
    <row r="40" customFormat="false" ht="18" hidden="false" customHeight="true" outlineLevel="0" collapsed="false">
      <c r="B40" s="50" t="s">
        <v>169</v>
      </c>
      <c r="C40" s="54" t="str">
        <f aca="false">LOWER(B6)&amp;"@company.com"</f>
        <v>alice silva@company.com</v>
      </c>
      <c r="D40" s="52" t="s">
        <v>170</v>
      </c>
      <c r="E40" s="55" t="str">
        <f aca="false">LOWER(B6)&amp;"@company.com"</f>
        <v>alice silva@company.com</v>
      </c>
    </row>
    <row r="41" customFormat="false" ht="18" hidden="false" customHeight="true" outlineLevel="0" collapsed="false">
      <c r="B41" s="50" t="s">
        <v>171</v>
      </c>
      <c r="C41" s="54" t="str">
        <f aca="false">LEFT(B6,FIND(" ",B6)-1)</f>
        <v>Alice</v>
      </c>
      <c r="D41" s="52" t="s">
        <v>172</v>
      </c>
      <c r="E41" s="55" t="str">
        <f aca="false">LEFT(B6,FIND(" ",B6)-1)</f>
        <v>Alice</v>
      </c>
    </row>
    <row r="42" customFormat="false" ht="18" hidden="false" customHeight="true" outlineLevel="0" collapsed="false">
      <c r="B42" s="50" t="s">
        <v>173</v>
      </c>
      <c r="C42" s="54" t="n">
        <f aca="false">RANK(D6,D$6:D$15,0)</f>
        <v>9</v>
      </c>
      <c r="D42" s="52" t="s">
        <v>174</v>
      </c>
      <c r="E42" s="53" t="n">
        <f aca="false">RANK(D6,D$6:D$15,0)</f>
        <v>9</v>
      </c>
    </row>
    <row r="43" customFormat="false" ht="18" hidden="false" customHeight="true" outlineLevel="0" collapsed="false">
      <c r="B43" s="50" t="s">
        <v>175</v>
      </c>
      <c r="C43" s="54" t="n">
        <f aca="false">COUNTIFS(C6:C15,C6)</f>
        <v>3</v>
      </c>
      <c r="D43" s="52" t="s">
        <v>176</v>
      </c>
      <c r="E43" s="55" t="n">
        <f aca="false">COUNTIFS(C6:C15,C6)</f>
        <v>3</v>
      </c>
    </row>
  </sheetData>
  <mergeCells count="5">
    <mergeCell ref="B2:F2"/>
    <mergeCell ref="B4:F4"/>
    <mergeCell ref="B18:F18"/>
    <mergeCell ref="B27:F27"/>
    <mergeCell ref="B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2026-04-14T15:11:15Z</dcterms:created>
  <dc:creator>openpyxl</dc:creator>
  <dc:description/>
  <dc:language>en-US</dc:language>
  <cp:lastModifiedBy/>
  <dcterms:modified xsi:type="dcterms:W3CDTF">2026-04-14T15:11:41Z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